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nhập" sheetId="1" state="visible" r:id="rId1"/>
    <sheet name="Bảng lý do đổi kho" sheetId="2" state="visible" r:id="rId2"/>
    <sheet name="Mã lý do" sheetId="3" state="visible" r:id="rId3"/>
    <sheet name="Template rollup (tuỳ chọ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DC2626"/>
      <sz val="14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97316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22" customWidth="1" min="7" max="7"/>
    <col width="16" customWidth="1" min="8" max="8"/>
    <col width="24" customWidth="1" min="9" max="9"/>
    <col width="16" customWidth="1" min="10" max="10"/>
    <col width="20" customWidth="1" min="11" max="11"/>
  </cols>
  <sheetData>
    <row r="1">
      <c r="A1" s="1" t="inlineStr">
        <is>
          <t>TEMPLATE NHẬP — fact_đổi_kho (1 dòng = 1 đơn bị đổi kho)</t>
        </is>
      </c>
    </row>
    <row r="2">
      <c r="A2" s="2" t="inlineStr">
        <is>
          <t>Mỗi đơn bị đổi kho giao là 1 dòng. Bảng 'Lý do đổi kho' tự tính từ dữ liệu ở đây (COUNTIFS theo channel/phường/lý do). Nhập từ dòng 5.</t>
        </is>
      </c>
    </row>
    <row r="3">
      <c r="A3" s="3" t="inlineStr">
        <is>
          <t>order_id</t>
        </is>
      </c>
      <c r="B3" s="3" t="inlineStr">
        <is>
          <t>ngay</t>
        </is>
      </c>
      <c r="C3" s="3" t="inlineStr">
        <is>
          <t>channel</t>
        </is>
      </c>
      <c r="D3" s="3" t="inlineStr">
        <is>
          <t>phuong_moi</t>
        </is>
      </c>
      <c r="E3" s="3" t="inlineStr">
        <is>
          <t>region_code</t>
        </is>
      </c>
      <c r="F3" s="3" t="inlineStr">
        <is>
          <t>ward_code</t>
        </is>
      </c>
      <c r="G3" s="3" t="inlineStr">
        <is>
          <t>ward_name</t>
        </is>
      </c>
      <c r="H3" s="3" t="inlineStr">
        <is>
          <t>bc_giao_code</t>
        </is>
      </c>
      <c r="I3" s="3" t="inlineStr">
        <is>
          <t>bc_giao_name</t>
        </is>
      </c>
      <c r="J3" s="3" t="inlineStr">
        <is>
          <t>ly_do_code</t>
        </is>
      </c>
      <c r="K3" s="3" t="inlineStr">
        <is>
          <t>ghi_chu</t>
        </is>
      </c>
    </row>
    <row r="4" ht="28" customHeight="1">
      <c r="A4" s="4" t="inlineStr">
        <is>
          <t>MVĐ / Order ID</t>
        </is>
      </c>
      <c r="B4" s="4" t="inlineStr">
        <is>
          <t>Ngày đổi kho (yyyy-mm-dd)</t>
        </is>
      </c>
      <c r="C4" s="4" t="inlineStr">
        <is>
          <t>Nguồn đơn: spe/tts/sme/ka/b2b/cb</t>
        </is>
      </c>
      <c r="D4" s="4" t="inlineStr">
        <is>
          <t>Phường mới? 1=mới, 0=cũ</t>
        </is>
      </c>
      <c r="E4" s="4" t="inlineStr">
        <is>
          <t>Vùng giao (HNO/HCM/...)</t>
        </is>
      </c>
      <c r="F4" s="4" t="inlineStr">
        <is>
          <t>Mã phường (ward code)</t>
        </is>
      </c>
      <c r="G4" s="4" t="inlineStr">
        <is>
          <t>Tên phường (ward name)</t>
        </is>
      </c>
      <c r="H4" s="4" t="inlineStr">
        <is>
          <t>Mã BC giao</t>
        </is>
      </c>
      <c r="I4" s="4" t="inlineStr">
        <is>
          <t>Tên BC giao</t>
        </is>
      </c>
      <c r="J4" s="4" t="inlineStr">
        <is>
          <t>Mã lý do (xem sheet Mã lý do)</t>
        </is>
      </c>
      <c r="K4" s="4" t="inlineStr">
        <is>
          <t>Ghi chú (tuỳ chọn)</t>
        </is>
      </c>
    </row>
    <row r="5">
      <c r="A5" s="5" t="inlineStr">
        <is>
          <t>GHN700000001</t>
        </is>
      </c>
      <c r="B5" s="5" t="inlineStr">
        <is>
          <t>2026-06-01</t>
        </is>
      </c>
      <c r="C5" s="5" t="inlineStr">
        <is>
          <t>spe</t>
        </is>
      </c>
      <c r="D5" s="6" t="n">
        <v>1</v>
      </c>
      <c r="E5" s="5" t="inlineStr">
        <is>
          <t>HCM</t>
        </is>
      </c>
      <c r="F5" s="5" t="inlineStr">
        <is>
          <t>26737</t>
        </is>
      </c>
      <c r="G5" s="5" t="inlineStr">
        <is>
          <t>Phường Bến Thành</t>
        </is>
      </c>
      <c r="H5" s="5" t="inlineStr">
        <is>
          <t>BC-HCM-007</t>
        </is>
      </c>
      <c r="I5" s="5" t="inlineStr">
        <is>
          <t>BC TP.HCM 007 (Q1)</t>
        </is>
      </c>
      <c r="J5" s="5" t="inlineStr">
        <is>
          <t>routing-rule</t>
        </is>
      </c>
      <c r="K5" s="7" t="inlineStr"/>
    </row>
    <row r="6">
      <c r="A6" s="5" t="inlineStr">
        <is>
          <t>GHN700000002</t>
        </is>
      </c>
      <c r="B6" s="5" t="inlineStr">
        <is>
          <t>2026-06-01</t>
        </is>
      </c>
      <c r="C6" s="5" t="inlineStr">
        <is>
          <t>spe</t>
        </is>
      </c>
      <c r="D6" s="6" t="n">
        <v>1</v>
      </c>
      <c r="E6" s="5" t="inlineStr">
        <is>
          <t>HCM</t>
        </is>
      </c>
      <c r="F6" s="5" t="inlineStr">
        <is>
          <t>26773</t>
        </is>
      </c>
      <c r="G6" s="5" t="inlineStr">
        <is>
          <t>Phường Đa Kao</t>
        </is>
      </c>
      <c r="H6" s="5" t="inlineStr">
        <is>
          <t>BC-HCM-012</t>
        </is>
      </c>
      <c r="I6" s="5" t="inlineStr">
        <is>
          <t>BC TP.HCM 012 (Q1)</t>
        </is>
      </c>
      <c r="J6" s="5" t="inlineStr">
        <is>
          <t>address-error</t>
        </is>
      </c>
      <c r="K6" s="7" t="inlineStr"/>
    </row>
    <row r="7">
      <c r="A7" s="5" t="inlineStr">
        <is>
          <t>GHN700000003</t>
        </is>
      </c>
      <c r="B7" s="5" t="inlineStr">
        <is>
          <t>2026-06-01</t>
        </is>
      </c>
      <c r="C7" s="5" t="inlineStr">
        <is>
          <t>spe</t>
        </is>
      </c>
      <c r="D7" s="6" t="n">
        <v>0</v>
      </c>
      <c r="E7" s="5" t="inlineStr">
        <is>
          <t>HCM</t>
        </is>
      </c>
      <c r="F7" s="5" t="inlineStr">
        <is>
          <t>27154</t>
        </is>
      </c>
      <c r="G7" s="5" t="inlineStr">
        <is>
          <t>Phường 12 (Bình Thạnh)</t>
        </is>
      </c>
      <c r="H7" s="5" t="inlineStr">
        <is>
          <t>BC-HCM-003</t>
        </is>
      </c>
      <c r="I7" s="5" t="inlineStr">
        <is>
          <t>BC TP.HCM 003 (Bình Thạnh)</t>
        </is>
      </c>
      <c r="J7" s="5" t="inlineStr">
        <is>
          <t>bc-closed</t>
        </is>
      </c>
      <c r="K7" s="7" t="inlineStr"/>
    </row>
    <row r="8">
      <c r="A8" s="5" t="inlineStr">
        <is>
          <t>GHN700000004</t>
        </is>
      </c>
      <c r="B8" s="5" t="inlineStr">
        <is>
          <t>2026-06-02</t>
        </is>
      </c>
      <c r="C8" s="5" t="inlineStr">
        <is>
          <t>tts</t>
        </is>
      </c>
      <c r="D8" s="6" t="n">
        <v>1</v>
      </c>
      <c r="E8" s="5" t="inlineStr">
        <is>
          <t>HNO</t>
        </is>
      </c>
      <c r="F8" s="5" t="inlineStr">
        <is>
          <t>00037</t>
        </is>
      </c>
      <c r="G8" s="5" t="inlineStr">
        <is>
          <t>Phường Trúc Bạch</t>
        </is>
      </c>
      <c r="H8" s="5" t="inlineStr">
        <is>
          <t>BC-HNI-021</t>
        </is>
      </c>
      <c r="I8" s="5" t="inlineStr">
        <is>
          <t>BC Hà Nội 021 (Ba Đình)</t>
        </is>
      </c>
      <c r="J8" s="5" t="inlineStr">
        <is>
          <t>routing-rule</t>
        </is>
      </c>
      <c r="K8" s="7" t="inlineStr"/>
    </row>
    <row r="9">
      <c r="A9" s="5" t="inlineStr">
        <is>
          <t>GHN700000005</t>
        </is>
      </c>
      <c r="B9" s="5" t="inlineStr">
        <is>
          <t>2026-06-02</t>
        </is>
      </c>
      <c r="C9" s="5" t="inlineStr">
        <is>
          <t>tts</t>
        </is>
      </c>
      <c r="D9" s="6" t="n">
        <v>0</v>
      </c>
      <c r="E9" s="5" t="inlineStr">
        <is>
          <t>HNO</t>
        </is>
      </c>
      <c r="F9" s="5" t="inlineStr">
        <is>
          <t>00103</t>
        </is>
      </c>
      <c r="G9" s="5" t="inlineStr">
        <is>
          <t>Phường Hàng Bạc</t>
        </is>
      </c>
      <c r="H9" s="5" t="inlineStr">
        <is>
          <t>BC-HNI-005</t>
        </is>
      </c>
      <c r="I9" s="5" t="inlineStr">
        <is>
          <t>BC Hà Nội 005 (Hoàn Kiếm)</t>
        </is>
      </c>
      <c r="J9" s="5" t="inlineStr">
        <is>
          <t>bc-closed</t>
        </is>
      </c>
      <c r="K9" s="7" t="inlineStr"/>
    </row>
    <row r="10">
      <c r="A10" s="5" t="inlineStr">
        <is>
          <t>GHN700000006</t>
        </is>
      </c>
      <c r="B10" s="5" t="inlineStr">
        <is>
          <t>2026-06-02</t>
        </is>
      </c>
      <c r="C10" s="5" t="inlineStr">
        <is>
          <t>tts</t>
        </is>
      </c>
      <c r="D10" s="6" t="n">
        <v>0</v>
      </c>
      <c r="E10" s="5" t="inlineStr">
        <is>
          <t>HNO</t>
        </is>
      </c>
      <c r="F10" s="5" t="inlineStr">
        <is>
          <t>00148</t>
        </is>
      </c>
      <c r="G10" s="5" t="inlineStr">
        <is>
          <t>Phường Cát Linh</t>
        </is>
      </c>
      <c r="H10" s="5" t="inlineStr">
        <is>
          <t>BC-HNI-008</t>
        </is>
      </c>
      <c r="I10" s="5" t="inlineStr">
        <is>
          <t>BC Hà Nội 008 (Đống Đa)</t>
        </is>
      </c>
      <c r="J10" s="5" t="inlineStr">
        <is>
          <t>service-unavail</t>
        </is>
      </c>
      <c r="K10" s="7" t="inlineStr"/>
    </row>
    <row r="11">
      <c r="A11" s="5" t="inlineStr">
        <is>
          <t>GHN700000007</t>
        </is>
      </c>
      <c r="B11" s="5" t="inlineStr">
        <is>
          <t>2026-06-03</t>
        </is>
      </c>
      <c r="C11" s="5" t="inlineStr">
        <is>
          <t>sme</t>
        </is>
      </c>
      <c r="D11" s="6" t="n">
        <v>1</v>
      </c>
      <c r="E11" s="5" t="inlineStr">
        <is>
          <t>DSH</t>
        </is>
      </c>
      <c r="F11" s="5" t="inlineStr">
        <is>
          <t>11401</t>
        </is>
      </c>
      <c r="G11" s="5" t="inlineStr">
        <is>
          <t>Phường Máy Chai</t>
        </is>
      </c>
      <c r="H11" s="5" t="inlineStr">
        <is>
          <t>BC-HPG-002</t>
        </is>
      </c>
      <c r="I11" s="5" t="inlineStr">
        <is>
          <t>BC Hải Phòng 002 (Ngô Quyền)</t>
        </is>
      </c>
      <c r="J11" s="5" t="inlineStr">
        <is>
          <t>address-error</t>
        </is>
      </c>
      <c r="K11" s="7" t="inlineStr"/>
    </row>
    <row r="12">
      <c r="A12" s="5" t="inlineStr">
        <is>
          <t>GHN700000008</t>
        </is>
      </c>
      <c r="B12" s="5" t="inlineStr">
        <is>
          <t>2026-06-03</t>
        </is>
      </c>
      <c r="C12" s="5" t="inlineStr">
        <is>
          <t>sme</t>
        </is>
      </c>
      <c r="D12" s="6" t="n">
        <v>1</v>
      </c>
      <c r="E12" s="5" t="inlineStr">
        <is>
          <t>DSH</t>
        </is>
      </c>
      <c r="F12" s="5" t="inlineStr">
        <is>
          <t>11428</t>
        </is>
      </c>
      <c r="G12" s="5" t="inlineStr">
        <is>
          <t>Phường Cầu Đất</t>
        </is>
      </c>
      <c r="H12" s="5" t="inlineStr">
        <is>
          <t>BC-HPG-009</t>
        </is>
      </c>
      <c r="I12" s="5" t="inlineStr">
        <is>
          <t>BC Hải Phòng 009 (Lê Chân)</t>
        </is>
      </c>
      <c r="J12" s="5" t="inlineStr">
        <is>
          <t>routing-rule</t>
        </is>
      </c>
      <c r="K12" s="7" t="inlineStr"/>
    </row>
    <row r="13">
      <c r="A13" s="5" t="inlineStr">
        <is>
          <t>GHN700000009</t>
        </is>
      </c>
      <c r="B13" s="5" t="inlineStr">
        <is>
          <t>2026-06-03</t>
        </is>
      </c>
      <c r="C13" s="5" t="inlineStr">
        <is>
          <t>sme</t>
        </is>
      </c>
      <c r="D13" s="6" t="n">
        <v>0</v>
      </c>
      <c r="E13" s="5" t="inlineStr">
        <is>
          <t>DSH</t>
        </is>
      </c>
      <c r="F13" s="5" t="inlineStr">
        <is>
          <t>11461</t>
        </is>
      </c>
      <c r="G13" s="5" t="inlineStr">
        <is>
          <t>Phường Anh Dũng</t>
        </is>
      </c>
      <c r="H13" s="5" t="inlineStr">
        <is>
          <t>BC-HPG-004</t>
        </is>
      </c>
      <c r="I13" s="5" t="inlineStr">
        <is>
          <t>BC Hải Phòng 004 (Dương Kinh)</t>
        </is>
      </c>
      <c r="J13" s="5" t="inlineStr">
        <is>
          <t>bc-closed</t>
        </is>
      </c>
      <c r="K13" s="7" t="inlineStr"/>
    </row>
    <row r="14">
      <c r="A14" s="5" t="inlineStr">
        <is>
          <t>GHN700000010</t>
        </is>
      </c>
      <c r="B14" s="5" t="inlineStr">
        <is>
          <t>2026-06-04</t>
        </is>
      </c>
      <c r="C14" s="5" t="inlineStr">
        <is>
          <t>spe</t>
        </is>
      </c>
      <c r="D14" s="6" t="n">
        <v>1</v>
      </c>
      <c r="E14" s="5" t="inlineStr">
        <is>
          <t>HCM</t>
        </is>
      </c>
      <c r="F14" s="5" t="inlineStr">
        <is>
          <t>27190</t>
        </is>
      </c>
      <c r="G14" s="5" t="inlineStr">
        <is>
          <t>Phường 5 (Gò Vấp)</t>
        </is>
      </c>
      <c r="H14" s="5" t="inlineStr">
        <is>
          <t>BC-HCM-015</t>
        </is>
      </c>
      <c r="I14" s="5" t="inlineStr">
        <is>
          <t>BC TP.HCM 015 (Gò Vấp)</t>
        </is>
      </c>
      <c r="J14" s="5" t="inlineStr">
        <is>
          <t>khac</t>
        </is>
      </c>
      <c r="K14" s="7" t="inlineStr"/>
    </row>
    <row r="15">
      <c r="A15" s="5" t="inlineStr">
        <is>
          <t>GHN700000011</t>
        </is>
      </c>
      <c r="B15" s="5" t="inlineStr">
        <is>
          <t>2026-06-04</t>
        </is>
      </c>
      <c r="C15" s="5" t="inlineStr">
        <is>
          <t>tts</t>
        </is>
      </c>
      <c r="D15" s="6" t="n">
        <v>1</v>
      </c>
      <c r="E15" s="5" t="inlineStr">
        <is>
          <t>HNO</t>
        </is>
      </c>
      <c r="F15" s="5" t="inlineStr">
        <is>
          <t>00220</t>
        </is>
      </c>
      <c r="G15" s="5" t="inlineStr">
        <is>
          <t>Phường Dịch Vọng</t>
        </is>
      </c>
      <c r="H15" s="5" t="inlineStr">
        <is>
          <t>BC-HNI-011</t>
        </is>
      </c>
      <c r="I15" s="5" t="inlineStr">
        <is>
          <t>BC Hà Nội 011 (Cầu Giấy)</t>
        </is>
      </c>
      <c r="J15" s="5" t="inlineStr">
        <is>
          <t>address-error</t>
        </is>
      </c>
      <c r="K15" s="7" t="inlineStr"/>
    </row>
    <row r="16">
      <c r="A16" s="5" t="inlineStr">
        <is>
          <t>GHN700000012</t>
        </is>
      </c>
      <c r="B16" s="5" t="inlineStr">
        <is>
          <t>2026-06-04</t>
        </is>
      </c>
      <c r="C16" s="5" t="inlineStr">
        <is>
          <t>sme</t>
        </is>
      </c>
      <c r="D16" s="6" t="n">
        <v>0</v>
      </c>
      <c r="E16" s="5" t="inlineStr">
        <is>
          <t>DNB</t>
        </is>
      </c>
      <c r="F16" s="5" t="inlineStr">
        <is>
          <t>25744</t>
        </is>
      </c>
      <c r="G16" s="5" t="inlineStr">
        <is>
          <t>Phường Phú Lợi</t>
        </is>
      </c>
      <c r="H16" s="5" t="inlineStr">
        <is>
          <t>BC-BDG-006</t>
        </is>
      </c>
      <c r="I16" s="5" t="inlineStr">
        <is>
          <t>BC Bình Dương 006 (Thủ Dầu Một)</t>
        </is>
      </c>
      <c r="J16" s="5" t="inlineStr">
        <is>
          <t>service-unavail</t>
        </is>
      </c>
      <c r="K16" s="7" t="inlineStr"/>
    </row>
    <row r="17">
      <c r="A17" s="5" t="inlineStr">
        <is>
          <t>GHN700000013</t>
        </is>
      </c>
      <c r="B17" s="5" t="inlineStr">
        <is>
          <t>2026-06-05</t>
        </is>
      </c>
      <c r="C17" s="5" t="inlineStr">
        <is>
          <t>ka</t>
        </is>
      </c>
      <c r="D17" s="6" t="n">
        <v>1</v>
      </c>
      <c r="E17" s="5" t="inlineStr">
        <is>
          <t>HCM</t>
        </is>
      </c>
      <c r="F17" s="5" t="inlineStr">
        <is>
          <t>27001</t>
        </is>
      </c>
      <c r="G17" s="5" t="inlineStr">
        <is>
          <t>Phường Tân Định</t>
        </is>
      </c>
      <c r="H17" s="5" t="inlineStr">
        <is>
          <t>BC-HCM-020</t>
        </is>
      </c>
      <c r="I17" s="5" t="inlineStr">
        <is>
          <t>BC TP.HCM 020 (Q1)</t>
        </is>
      </c>
      <c r="J17" s="5" t="inlineStr">
        <is>
          <t>routing-rule</t>
        </is>
      </c>
      <c r="K17" s="7" t="inlineStr"/>
    </row>
    <row r="18">
      <c r="A18" s="5" t="inlineStr">
        <is>
          <t>GHN700000014</t>
        </is>
      </c>
      <c r="B18" s="5" t="inlineStr">
        <is>
          <t>2026-06-05</t>
        </is>
      </c>
      <c r="C18" s="5" t="inlineStr">
        <is>
          <t>spe</t>
        </is>
      </c>
      <c r="D18" s="6" t="n">
        <v>0</v>
      </c>
      <c r="E18" s="5" t="inlineStr">
        <is>
          <t>HCM</t>
        </is>
      </c>
      <c r="F18" s="5" t="inlineStr">
        <is>
          <t>27259</t>
        </is>
      </c>
      <c r="G18" s="5" t="inlineStr">
        <is>
          <t>Phường 15 (Tân Bình)</t>
        </is>
      </c>
      <c r="H18" s="5" t="inlineStr">
        <is>
          <t>BC-HCM-031</t>
        </is>
      </c>
      <c r="I18" s="5" t="inlineStr">
        <is>
          <t>BC TP.HCM 031 (Tân Bình)</t>
        </is>
      </c>
      <c r="J18" s="5" t="inlineStr">
        <is>
          <t>bc-closed</t>
        </is>
      </c>
      <c r="K18" s="7" t="inlineStr"/>
    </row>
    <row r="19">
      <c r="A19" s="5" t="inlineStr">
        <is>
          <t>GHN700000015</t>
        </is>
      </c>
      <c r="B19" s="5" t="inlineStr">
        <is>
          <t>2026-06-05</t>
        </is>
      </c>
      <c r="C19" s="5" t="inlineStr">
        <is>
          <t>tts</t>
        </is>
      </c>
      <c r="D19" s="6" t="n">
        <v>1</v>
      </c>
      <c r="E19" s="5" t="inlineStr">
        <is>
          <t>HNO</t>
        </is>
      </c>
      <c r="F19" s="5" t="inlineStr">
        <is>
          <t>00271</t>
        </is>
      </c>
      <c r="G19" s="5" t="inlineStr">
        <is>
          <t>Phường Nghĩa Đô</t>
        </is>
      </c>
      <c r="H19" s="5" t="inlineStr">
        <is>
          <t>BC-HNI-014</t>
        </is>
      </c>
      <c r="I19" s="5" t="inlineStr">
        <is>
          <t>BC Hà Nội 014 (Cầu Giấy)</t>
        </is>
      </c>
      <c r="J19" s="5" t="inlineStr">
        <is>
          <t>routing-rule</t>
        </is>
      </c>
      <c r="K19" s="7" t="inlineStr"/>
    </row>
    <row r="20">
      <c r="A20" s="5" t="inlineStr">
        <is>
          <t>GHN700000016</t>
        </is>
      </c>
      <c r="B20" s="5" t="inlineStr">
        <is>
          <t>2026-06-06</t>
        </is>
      </c>
      <c r="C20" s="5" t="inlineStr">
        <is>
          <t>sme</t>
        </is>
      </c>
      <c r="D20" s="6" t="n">
        <v>1</v>
      </c>
      <c r="E20" s="5" t="inlineStr">
        <is>
          <t>DSH</t>
        </is>
      </c>
      <c r="F20" s="5" t="inlineStr">
        <is>
          <t>11503</t>
        </is>
      </c>
      <c r="G20" s="5" t="inlineStr">
        <is>
          <t>Phường Hùng Vương</t>
        </is>
      </c>
      <c r="H20" s="5" t="inlineStr">
        <is>
          <t>BC-HPG-012</t>
        </is>
      </c>
      <c r="I20" s="5" t="inlineStr">
        <is>
          <t>BC Hải Phòng 012 (Hồng Bàng)</t>
        </is>
      </c>
      <c r="J20" s="5" t="inlineStr">
        <is>
          <t>khac</t>
        </is>
      </c>
      <c r="K20" s="7" t="inlineStr"/>
    </row>
    <row r="21">
      <c r="A21" s="5" t="inlineStr">
        <is>
          <t>GHN700000017</t>
        </is>
      </c>
      <c r="B21" s="5" t="inlineStr">
        <is>
          <t>2026-06-06</t>
        </is>
      </c>
      <c r="C21" s="5" t="inlineStr">
        <is>
          <t>spe</t>
        </is>
      </c>
      <c r="D21" s="6" t="n">
        <v>1</v>
      </c>
      <c r="E21" s="5" t="inlineStr">
        <is>
          <t>HCM</t>
        </is>
      </c>
      <c r="F21" s="5" t="inlineStr">
        <is>
          <t>26821</t>
        </is>
      </c>
      <c r="G21" s="5" t="inlineStr">
        <is>
          <t>Phường Cô Giang</t>
        </is>
      </c>
      <c r="H21" s="5" t="inlineStr">
        <is>
          <t>BC-HCM-008</t>
        </is>
      </c>
      <c r="I21" s="5" t="inlineStr">
        <is>
          <t>BC TP.HCM 008 (Q1)</t>
        </is>
      </c>
      <c r="J21" s="5" t="inlineStr">
        <is>
          <t>address-error</t>
        </is>
      </c>
      <c r="K21" s="7" t="inlineStr"/>
    </row>
    <row r="22">
      <c r="A22" s="5" t="inlineStr">
        <is>
          <t>GHN700000018</t>
        </is>
      </c>
      <c r="B22" s="5" t="inlineStr">
        <is>
          <t>2026-06-06</t>
        </is>
      </c>
      <c r="C22" s="5" t="inlineStr">
        <is>
          <t>tts</t>
        </is>
      </c>
      <c r="D22" s="6" t="n">
        <v>0</v>
      </c>
      <c r="E22" s="5" t="inlineStr">
        <is>
          <t>HNO</t>
        </is>
      </c>
      <c r="F22" s="5" t="inlineStr">
        <is>
          <t>00316</t>
        </is>
      </c>
      <c r="G22" s="5" t="inlineStr">
        <is>
          <t>Phường Phúc Xá</t>
        </is>
      </c>
      <c r="H22" s="5" t="inlineStr">
        <is>
          <t>BC-HNI-019</t>
        </is>
      </c>
      <c r="I22" s="5" t="inlineStr">
        <is>
          <t>BC Hà Nội 019 (Ba Đình)</t>
        </is>
      </c>
      <c r="J22" s="5" t="inlineStr">
        <is>
          <t>bc-closed</t>
        </is>
      </c>
      <c r="K22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hidden="1" width="13" customWidth="1" min="11" max="11"/>
  </cols>
  <sheetData>
    <row r="1">
      <c r="A1" s="1" t="inlineStr">
        <is>
          <t>BẢNG LÝ DO ĐỔI KHO — % phân bổ theo Nguồn đơn × Phường mới/cũ</t>
        </is>
      </c>
    </row>
    <row r="2">
      <c r="A2" s="2" t="inlineStr">
        <is>
          <t>Tự tính từ sheet 'Template nhập'. Mỗi cột (Nguồn × Mới/Cũ) cộng các lý do = 100%.</t>
        </is>
      </c>
    </row>
    <row r="4">
      <c r="A4" s="3" t="inlineStr">
        <is>
          <t>Lý do đổi kho</t>
        </is>
      </c>
      <c r="B4" s="3" t="inlineStr">
        <is>
          <t>Overall</t>
        </is>
      </c>
      <c r="C4" s="8" t="n"/>
      <c r="D4" s="9" t="inlineStr">
        <is>
          <t>SPE</t>
        </is>
      </c>
      <c r="E4" s="8" t="n"/>
      <c r="F4" s="9" t="inlineStr">
        <is>
          <t>TTS</t>
        </is>
      </c>
      <c r="G4" s="8" t="n"/>
      <c r="H4" s="9" t="inlineStr">
        <is>
          <t>SME</t>
        </is>
      </c>
      <c r="I4" s="8" t="n"/>
      <c r="K4" t="inlineStr">
        <is>
          <t>code</t>
        </is>
      </c>
    </row>
    <row r="5">
      <c r="A5" s="10" t="n"/>
      <c r="B5" s="11" t="inlineStr">
        <is>
          <t>Mới</t>
        </is>
      </c>
      <c r="C5" s="11" t="inlineStr">
        <is>
          <t>Cũ</t>
        </is>
      </c>
      <c r="D5" s="12" t="inlineStr">
        <is>
          <t>Mới</t>
        </is>
      </c>
      <c r="E5" s="12" t="inlineStr">
        <is>
          <t>Cũ</t>
        </is>
      </c>
      <c r="F5" s="12" t="inlineStr">
        <is>
          <t>Mới</t>
        </is>
      </c>
      <c r="G5" s="12" t="inlineStr">
        <is>
          <t>Cũ</t>
        </is>
      </c>
      <c r="H5" s="12" t="inlineStr">
        <is>
          <t>Mới</t>
        </is>
      </c>
      <c r="I5" s="12" t="inlineStr">
        <is>
          <t>Cũ</t>
        </is>
      </c>
    </row>
    <row r="6">
      <c r="A6" s="13" t="inlineStr">
        <is>
          <t>BC nhận đóng / quá tải</t>
        </is>
      </c>
      <c r="B6" s="14">
        <f>IFERROR(COUNTIFS('Template nhập'!$D$5:$D$1000,1,'Template nhập'!$J$5:$J$1000,$K6)/COUNTIFS('Template nhập'!$D$5:$D$1000,1),0)</f>
        <v/>
      </c>
      <c r="C6" s="14">
        <f>IFERROR(COUNTIFS('Template nhập'!$D$5:$D$1000,0,'Template nhập'!$J$5:$J$1000,$K6)/COUNTIFS('Template nhập'!$D$5:$D$1000,0),0)</f>
        <v/>
      </c>
      <c r="D6" s="14">
        <f>IFERROR(COUNTIFS('Template nhập'!$C$5:$C$1000,"spe",'Template nhập'!$D$5:$D$1000,1,'Template nhập'!$J$5:$J$1000,$K6)/COUNTIFS('Template nhập'!$C$5:$C$1000,"spe",'Template nhập'!$D$5:$D$1000,1),0)</f>
        <v/>
      </c>
      <c r="E6" s="14">
        <f>IFERROR(COUNTIFS('Template nhập'!$C$5:$C$1000,"spe",'Template nhập'!$D$5:$D$1000,0,'Template nhập'!$J$5:$J$1000,$K6)/COUNTIFS('Template nhập'!$C$5:$C$1000,"spe",'Template nhập'!$D$5:$D$1000,0),0)</f>
        <v/>
      </c>
      <c r="F6" s="14">
        <f>IFERROR(COUNTIFS('Template nhập'!$C$5:$C$1000,"tts",'Template nhập'!$D$5:$D$1000,1,'Template nhập'!$J$5:$J$1000,$K6)/COUNTIFS('Template nhập'!$C$5:$C$1000,"tts",'Template nhập'!$D$5:$D$1000,1),0)</f>
        <v/>
      </c>
      <c r="G6" s="14">
        <f>IFERROR(COUNTIFS('Template nhập'!$C$5:$C$1000,"tts",'Template nhập'!$D$5:$D$1000,0,'Template nhập'!$J$5:$J$1000,$K6)/COUNTIFS('Template nhập'!$C$5:$C$1000,"tts",'Template nhập'!$D$5:$D$1000,0),0)</f>
        <v/>
      </c>
      <c r="H6" s="14">
        <f>IFERROR(COUNTIFS('Template nhập'!$C$5:$C$1000,"sme",'Template nhập'!$D$5:$D$1000,1,'Template nhập'!$J$5:$J$1000,$K6)/COUNTIFS('Template nhập'!$C$5:$C$1000,"sme",'Template nhập'!$D$5:$D$1000,1),0)</f>
        <v/>
      </c>
      <c r="I6" s="14">
        <f>IFERROR(COUNTIFS('Template nhập'!$C$5:$C$1000,"sme",'Template nhập'!$D$5:$D$1000,0,'Template nhập'!$J$5:$J$1000,$K6)/COUNTIFS('Template nhập'!$C$5:$C$1000,"sme",'Template nhập'!$D$5:$D$1000,0),0)</f>
        <v/>
      </c>
      <c r="K6" s="15" t="inlineStr">
        <is>
          <t>bc-closed</t>
        </is>
      </c>
    </row>
    <row r="7">
      <c r="A7" s="13" t="inlineStr">
        <is>
          <t>Sai routing rule</t>
        </is>
      </c>
      <c r="B7" s="14">
        <f>IFERROR(COUNTIFS('Template nhập'!$D$5:$D$1000,1,'Template nhập'!$J$5:$J$1000,$K7)/COUNTIFS('Template nhập'!$D$5:$D$1000,1),0)</f>
        <v/>
      </c>
      <c r="C7" s="14">
        <f>IFERROR(COUNTIFS('Template nhập'!$D$5:$D$1000,0,'Template nhập'!$J$5:$J$1000,$K7)/COUNTIFS('Template nhập'!$D$5:$D$1000,0),0)</f>
        <v/>
      </c>
      <c r="D7" s="14">
        <f>IFERROR(COUNTIFS('Template nhập'!$C$5:$C$1000,"spe",'Template nhập'!$D$5:$D$1000,1,'Template nhập'!$J$5:$J$1000,$K7)/COUNTIFS('Template nhập'!$C$5:$C$1000,"spe",'Template nhập'!$D$5:$D$1000,1),0)</f>
        <v/>
      </c>
      <c r="E7" s="14">
        <f>IFERROR(COUNTIFS('Template nhập'!$C$5:$C$1000,"spe",'Template nhập'!$D$5:$D$1000,0,'Template nhập'!$J$5:$J$1000,$K7)/COUNTIFS('Template nhập'!$C$5:$C$1000,"spe",'Template nhập'!$D$5:$D$1000,0),0)</f>
        <v/>
      </c>
      <c r="F7" s="14">
        <f>IFERROR(COUNTIFS('Template nhập'!$C$5:$C$1000,"tts",'Template nhập'!$D$5:$D$1000,1,'Template nhập'!$J$5:$J$1000,$K7)/COUNTIFS('Template nhập'!$C$5:$C$1000,"tts",'Template nhập'!$D$5:$D$1000,1),0)</f>
        <v/>
      </c>
      <c r="G7" s="14">
        <f>IFERROR(COUNTIFS('Template nhập'!$C$5:$C$1000,"tts",'Template nhập'!$D$5:$D$1000,0,'Template nhập'!$J$5:$J$1000,$K7)/COUNTIFS('Template nhập'!$C$5:$C$1000,"tts",'Template nhập'!$D$5:$D$1000,0),0)</f>
        <v/>
      </c>
      <c r="H7" s="14">
        <f>IFERROR(COUNTIFS('Template nhập'!$C$5:$C$1000,"sme",'Template nhập'!$D$5:$D$1000,1,'Template nhập'!$J$5:$J$1000,$K7)/COUNTIFS('Template nhập'!$C$5:$C$1000,"sme",'Template nhập'!$D$5:$D$1000,1),0)</f>
        <v/>
      </c>
      <c r="I7" s="14">
        <f>IFERROR(COUNTIFS('Template nhập'!$C$5:$C$1000,"sme",'Template nhập'!$D$5:$D$1000,0,'Template nhập'!$J$5:$J$1000,$K7)/COUNTIFS('Template nhập'!$C$5:$C$1000,"sme",'Template nhập'!$D$5:$D$1000,0),0)</f>
        <v/>
      </c>
      <c r="K7" s="15" t="inlineStr">
        <is>
          <t>routing-rule</t>
        </is>
      </c>
    </row>
    <row r="8">
      <c r="A8" s="13" t="inlineStr">
        <is>
          <t>Sai mapping địa chỉ</t>
        </is>
      </c>
      <c r="B8" s="14">
        <f>IFERROR(COUNTIFS('Template nhập'!$D$5:$D$1000,1,'Template nhập'!$J$5:$J$1000,$K8)/COUNTIFS('Template nhập'!$D$5:$D$1000,1),0)</f>
        <v/>
      </c>
      <c r="C8" s="14">
        <f>IFERROR(COUNTIFS('Template nhập'!$D$5:$D$1000,0,'Template nhập'!$J$5:$J$1000,$K8)/COUNTIFS('Template nhập'!$D$5:$D$1000,0),0)</f>
        <v/>
      </c>
      <c r="D8" s="14">
        <f>IFERROR(COUNTIFS('Template nhập'!$C$5:$C$1000,"spe",'Template nhập'!$D$5:$D$1000,1,'Template nhập'!$J$5:$J$1000,$K8)/COUNTIFS('Template nhập'!$C$5:$C$1000,"spe",'Template nhập'!$D$5:$D$1000,1),0)</f>
        <v/>
      </c>
      <c r="E8" s="14">
        <f>IFERROR(COUNTIFS('Template nhập'!$C$5:$C$1000,"spe",'Template nhập'!$D$5:$D$1000,0,'Template nhập'!$J$5:$J$1000,$K8)/COUNTIFS('Template nhập'!$C$5:$C$1000,"spe",'Template nhập'!$D$5:$D$1000,0),0)</f>
        <v/>
      </c>
      <c r="F8" s="14">
        <f>IFERROR(COUNTIFS('Template nhập'!$C$5:$C$1000,"tts",'Template nhập'!$D$5:$D$1000,1,'Template nhập'!$J$5:$J$1000,$K8)/COUNTIFS('Template nhập'!$C$5:$C$1000,"tts",'Template nhập'!$D$5:$D$1000,1),0)</f>
        <v/>
      </c>
      <c r="G8" s="14">
        <f>IFERROR(COUNTIFS('Template nhập'!$C$5:$C$1000,"tts",'Template nhập'!$D$5:$D$1000,0,'Template nhập'!$J$5:$J$1000,$K8)/COUNTIFS('Template nhập'!$C$5:$C$1000,"tts",'Template nhập'!$D$5:$D$1000,0),0)</f>
        <v/>
      </c>
      <c r="H8" s="14">
        <f>IFERROR(COUNTIFS('Template nhập'!$C$5:$C$1000,"sme",'Template nhập'!$D$5:$D$1000,1,'Template nhập'!$J$5:$J$1000,$K8)/COUNTIFS('Template nhập'!$C$5:$C$1000,"sme",'Template nhập'!$D$5:$D$1000,1),0)</f>
        <v/>
      </c>
      <c r="I8" s="14">
        <f>IFERROR(COUNTIFS('Template nhập'!$C$5:$C$1000,"sme",'Template nhập'!$D$5:$D$1000,0,'Template nhập'!$J$5:$J$1000,$K8)/COUNTIFS('Template nhập'!$C$5:$C$1000,"sme",'Template nhập'!$D$5:$D$1000,0),0)</f>
        <v/>
      </c>
      <c r="K8" s="15" t="inlineStr">
        <is>
          <t>address-error</t>
        </is>
      </c>
    </row>
    <row r="9">
      <c r="A9" s="13" t="inlineStr">
        <is>
          <t>Service không hỗ trợ vùng</t>
        </is>
      </c>
      <c r="B9" s="14">
        <f>IFERROR(COUNTIFS('Template nhập'!$D$5:$D$1000,1,'Template nhập'!$J$5:$J$1000,$K9)/COUNTIFS('Template nhập'!$D$5:$D$1000,1),0)</f>
        <v/>
      </c>
      <c r="C9" s="14">
        <f>IFERROR(COUNTIFS('Template nhập'!$D$5:$D$1000,0,'Template nhập'!$J$5:$J$1000,$K9)/COUNTIFS('Template nhập'!$D$5:$D$1000,0),0)</f>
        <v/>
      </c>
      <c r="D9" s="14">
        <f>IFERROR(COUNTIFS('Template nhập'!$C$5:$C$1000,"spe",'Template nhập'!$D$5:$D$1000,1,'Template nhập'!$J$5:$J$1000,$K9)/COUNTIFS('Template nhập'!$C$5:$C$1000,"spe",'Template nhập'!$D$5:$D$1000,1),0)</f>
        <v/>
      </c>
      <c r="E9" s="14">
        <f>IFERROR(COUNTIFS('Template nhập'!$C$5:$C$1000,"spe",'Template nhập'!$D$5:$D$1000,0,'Template nhập'!$J$5:$J$1000,$K9)/COUNTIFS('Template nhập'!$C$5:$C$1000,"spe",'Template nhập'!$D$5:$D$1000,0),0)</f>
        <v/>
      </c>
      <c r="F9" s="14">
        <f>IFERROR(COUNTIFS('Template nhập'!$C$5:$C$1000,"tts",'Template nhập'!$D$5:$D$1000,1,'Template nhập'!$J$5:$J$1000,$K9)/COUNTIFS('Template nhập'!$C$5:$C$1000,"tts",'Template nhập'!$D$5:$D$1000,1),0)</f>
        <v/>
      </c>
      <c r="G9" s="14">
        <f>IFERROR(COUNTIFS('Template nhập'!$C$5:$C$1000,"tts",'Template nhập'!$D$5:$D$1000,0,'Template nhập'!$J$5:$J$1000,$K9)/COUNTIFS('Template nhập'!$C$5:$C$1000,"tts",'Template nhập'!$D$5:$D$1000,0),0)</f>
        <v/>
      </c>
      <c r="H9" s="14">
        <f>IFERROR(COUNTIFS('Template nhập'!$C$5:$C$1000,"sme",'Template nhập'!$D$5:$D$1000,1,'Template nhập'!$J$5:$J$1000,$K9)/COUNTIFS('Template nhập'!$C$5:$C$1000,"sme",'Template nhập'!$D$5:$D$1000,1),0)</f>
        <v/>
      </c>
      <c r="I9" s="14">
        <f>IFERROR(COUNTIFS('Template nhập'!$C$5:$C$1000,"sme",'Template nhập'!$D$5:$D$1000,0,'Template nhập'!$J$5:$J$1000,$K9)/COUNTIFS('Template nhập'!$C$5:$C$1000,"sme",'Template nhập'!$D$5:$D$1000,0),0)</f>
        <v/>
      </c>
      <c r="K9" s="15" t="inlineStr">
        <is>
          <t>service-unavail</t>
        </is>
      </c>
    </row>
    <row r="10">
      <c r="A10" s="13" t="inlineStr">
        <is>
          <t>Khác / GAP công thức</t>
        </is>
      </c>
      <c r="B10" s="14">
        <f>IFERROR(COUNTIFS('Template nhập'!$D$5:$D$1000,1,'Template nhập'!$J$5:$J$1000,$K10)/COUNTIFS('Template nhập'!$D$5:$D$1000,1),0)</f>
        <v/>
      </c>
      <c r="C10" s="14">
        <f>IFERROR(COUNTIFS('Template nhập'!$D$5:$D$1000,0,'Template nhập'!$J$5:$J$1000,$K10)/COUNTIFS('Template nhập'!$D$5:$D$1000,0),0)</f>
        <v/>
      </c>
      <c r="D10" s="14">
        <f>IFERROR(COUNTIFS('Template nhập'!$C$5:$C$1000,"spe",'Template nhập'!$D$5:$D$1000,1,'Template nhập'!$J$5:$J$1000,$K10)/COUNTIFS('Template nhập'!$C$5:$C$1000,"spe",'Template nhập'!$D$5:$D$1000,1),0)</f>
        <v/>
      </c>
      <c r="E10" s="14">
        <f>IFERROR(COUNTIFS('Template nhập'!$C$5:$C$1000,"spe",'Template nhập'!$D$5:$D$1000,0,'Template nhập'!$J$5:$J$1000,$K10)/COUNTIFS('Template nhập'!$C$5:$C$1000,"spe",'Template nhập'!$D$5:$D$1000,0),0)</f>
        <v/>
      </c>
      <c r="F10" s="14">
        <f>IFERROR(COUNTIFS('Template nhập'!$C$5:$C$1000,"tts",'Template nhập'!$D$5:$D$1000,1,'Template nhập'!$J$5:$J$1000,$K10)/COUNTIFS('Template nhập'!$C$5:$C$1000,"tts",'Template nhập'!$D$5:$D$1000,1),0)</f>
        <v/>
      </c>
      <c r="G10" s="14">
        <f>IFERROR(COUNTIFS('Template nhập'!$C$5:$C$1000,"tts",'Template nhập'!$D$5:$D$1000,0,'Template nhập'!$J$5:$J$1000,$K10)/COUNTIFS('Template nhập'!$C$5:$C$1000,"tts",'Template nhập'!$D$5:$D$1000,0),0)</f>
        <v/>
      </c>
      <c r="H10" s="14">
        <f>IFERROR(COUNTIFS('Template nhập'!$C$5:$C$1000,"sme",'Template nhập'!$D$5:$D$1000,1,'Template nhập'!$J$5:$J$1000,$K10)/COUNTIFS('Template nhập'!$C$5:$C$1000,"sme",'Template nhập'!$D$5:$D$1000,1),0)</f>
        <v/>
      </c>
      <c r="I10" s="14">
        <f>IFERROR(COUNTIFS('Template nhập'!$C$5:$C$1000,"sme",'Template nhập'!$D$5:$D$1000,0,'Template nhập'!$J$5:$J$1000,$K10)/COUNTIFS('Template nhập'!$C$5:$C$1000,"sme",'Template nhập'!$D$5:$D$1000,0),0)</f>
        <v/>
      </c>
      <c r="K10" s="15" t="inlineStr">
        <is>
          <t>khac</t>
        </is>
      </c>
    </row>
    <row r="11">
      <c r="A11" s="2" t="inlineStr">
        <is>
          <t>Tổng (kiểm tra = 100%)</t>
        </is>
      </c>
      <c r="B11" s="16">
        <f>SUM(B6:B10)</f>
        <v/>
      </c>
      <c r="C11" s="16">
        <f>SUM(C6:C10)</f>
        <v/>
      </c>
      <c r="D11" s="16">
        <f>SUM(D6:D10)</f>
        <v/>
      </c>
      <c r="E11" s="16">
        <f>SUM(E6:E10)</f>
        <v/>
      </c>
      <c r="F11" s="16">
        <f>SUM(F6:F10)</f>
        <v/>
      </c>
      <c r="G11" s="16">
        <f>SUM(G6:G10)</f>
        <v/>
      </c>
      <c r="H11" s="16">
        <f>SUM(H6:H10)</f>
        <v/>
      </c>
      <c r="I11" s="16">
        <f>SUM(I6:I10)</f>
        <v/>
      </c>
    </row>
  </sheetData>
  <mergeCells count="5">
    <mergeCell ref="F4:G4"/>
    <mergeCell ref="A4:A5"/>
    <mergeCell ref="D4:E4"/>
    <mergeCell ref="H4:I4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50" customWidth="1" min="4" max="4"/>
  </cols>
  <sheetData>
    <row r="1">
      <c r="A1" s="1" t="inlineStr">
        <is>
          <t>MÃ LÝ DO ĐỔI KHO (dùng cho cột ly_do_code)</t>
        </is>
      </c>
    </row>
    <row r="3">
      <c r="A3" s="3" t="inlineStr">
        <is>
          <t>ly_do_code</t>
        </is>
      </c>
      <c r="B3" s="3" t="inlineStr">
        <is>
          <t>Tên hiển thị</t>
        </is>
      </c>
      <c r="C3" s="3" t="inlineStr">
        <is>
          <t>Nhóm</t>
        </is>
      </c>
      <c r="D3" s="3" t="inlineStr">
        <is>
          <t>Mô tả</t>
        </is>
      </c>
    </row>
    <row r="4">
      <c r="A4" s="17" t="inlineStr">
        <is>
          <t>bc-closed</t>
        </is>
      </c>
      <c r="B4" s="17" t="inlineStr">
        <is>
          <t>BC nhận đóng / quá tải</t>
        </is>
      </c>
      <c r="C4" s="17" t="inlineStr">
        <is>
          <t>Vận hành</t>
        </is>
      </c>
      <c r="D4" s="17" t="inlineStr">
        <is>
          <t>BC giao đóng cửa / quá tải nên đơn phải đổi sang BC khác</t>
        </is>
      </c>
    </row>
    <row r="5">
      <c r="A5" s="17" t="inlineStr">
        <is>
          <t>routing-rule</t>
        </is>
      </c>
      <c r="B5" s="17" t="inlineStr">
        <is>
          <t>Sai routing rule</t>
        </is>
      </c>
      <c r="C5" s="17" t="inlineStr">
        <is>
          <t>Vận hành</t>
        </is>
      </c>
      <c r="D5" s="17" t="inlineStr">
        <is>
          <t>Rule định tuyến (ORS) gán sai BC ngay từ đầu</t>
        </is>
      </c>
    </row>
    <row r="6">
      <c r="A6" s="17" t="inlineStr">
        <is>
          <t>address-error</t>
        </is>
      </c>
      <c r="B6" s="17" t="inlineStr">
        <is>
          <t>Sai mapping địa chỉ</t>
        </is>
      </c>
      <c r="C6" s="17" t="inlineStr">
        <is>
          <t>Vận hành</t>
        </is>
      </c>
      <c r="D6" s="17" t="inlineStr">
        <is>
          <t>Địa chỉ map sai phường → sai BC, phải đổi</t>
        </is>
      </c>
    </row>
    <row r="7">
      <c r="A7" s="17" t="inlineStr">
        <is>
          <t>service-unavail</t>
        </is>
      </c>
      <c r="B7" s="17" t="inlineStr">
        <is>
          <t>Service không hỗ trợ vùng</t>
        </is>
      </c>
      <c r="C7" s="17" t="inlineStr">
        <is>
          <t>Vận hành</t>
        </is>
      </c>
      <c r="D7" s="17" t="inlineStr">
        <is>
          <t>BC không phục vụ loại dịch vụ / vùng đó</t>
        </is>
      </c>
    </row>
    <row r="8">
      <c r="A8" s="17" t="inlineStr">
        <is>
          <t>khac</t>
        </is>
      </c>
      <c r="B8" s="17" t="inlineStr">
        <is>
          <t>Khác / GAP công thức</t>
        </is>
      </c>
      <c r="C8" s="17" t="inlineStr">
        <is>
          <t>GAP</t>
        </is>
      </c>
      <c r="D8" s="17" t="inlineStr">
        <is>
          <t>Lý do khác chưa phân loại (GAP công thức — cần rà soát)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2" customWidth="1" min="5" max="5"/>
  </cols>
  <sheetData>
    <row r="1">
      <c r="A1" s="1" t="inlineStr">
        <is>
          <t>TEMPLATE ROLLUP — dùng khi KHÔNG export được raw từng đơn</t>
        </is>
      </c>
    </row>
    <row r="2">
      <c r="A2" s="2" t="inlineStr">
        <is>
          <t>Tổng hợp sẵn theo ngày × nguồn × phường × lý do. so_don = số đơn đổi kho của tổ hợp.</t>
        </is>
      </c>
    </row>
    <row r="3">
      <c r="A3" s="3" t="inlineStr">
        <is>
          <t>ngay</t>
        </is>
      </c>
      <c r="B3" s="3" t="inlineStr">
        <is>
          <t>channel</t>
        </is>
      </c>
      <c r="C3" s="3" t="inlineStr">
        <is>
          <t>phuong_moi</t>
        </is>
      </c>
      <c r="D3" s="3" t="inlineStr">
        <is>
          <t>ly_do_code</t>
        </is>
      </c>
      <c r="E3" s="3" t="inlineStr">
        <is>
          <t>so_don</t>
        </is>
      </c>
    </row>
    <row r="4">
      <c r="A4" s="2" t="inlineStr">
        <is>
          <t>Ngày</t>
        </is>
      </c>
      <c r="B4" s="2" t="inlineStr">
        <is>
          <t>Nguồn đơn</t>
        </is>
      </c>
      <c r="C4" s="2" t="inlineStr">
        <is>
          <t>1=mới,0=cũ</t>
        </is>
      </c>
      <c r="D4" s="2" t="inlineStr">
        <is>
          <t>Mã lý do</t>
        </is>
      </c>
      <c r="E4" s="2" t="inlineStr">
        <is>
          <t>Số đơn</t>
        </is>
      </c>
    </row>
    <row r="5">
      <c r="A5" s="5" t="inlineStr">
        <is>
          <t>2026-06-01</t>
        </is>
      </c>
      <c r="B5" s="5" t="inlineStr">
        <is>
          <t>spe</t>
        </is>
      </c>
      <c r="C5" s="6" t="n">
        <v>1</v>
      </c>
      <c r="D5" s="5" t="inlineStr">
        <is>
          <t>routing-rule</t>
        </is>
      </c>
      <c r="E5" s="6" t="n">
        <v>128</v>
      </c>
    </row>
    <row r="6">
      <c r="A6" s="5" t="inlineStr">
        <is>
          <t>2026-06-01</t>
        </is>
      </c>
      <c r="B6" s="5" t="inlineStr">
        <is>
          <t>spe</t>
        </is>
      </c>
      <c r="C6" s="6" t="n">
        <v>1</v>
      </c>
      <c r="D6" s="5" t="inlineStr">
        <is>
          <t>address-error</t>
        </is>
      </c>
      <c r="E6" s="6" t="n">
        <v>96</v>
      </c>
    </row>
    <row r="7">
      <c r="A7" s="5" t="inlineStr">
        <is>
          <t>2026-06-01</t>
        </is>
      </c>
      <c r="B7" s="5" t="inlineStr">
        <is>
          <t>spe</t>
        </is>
      </c>
      <c r="C7" s="6" t="n">
        <v>0</v>
      </c>
      <c r="D7" s="5" t="inlineStr">
        <is>
          <t>bc-closed</t>
        </is>
      </c>
      <c r="E7" s="6" t="n">
        <v>54</v>
      </c>
    </row>
    <row r="8">
      <c r="A8" s="5" t="inlineStr">
        <is>
          <t>2026-06-01</t>
        </is>
      </c>
      <c r="B8" s="5" t="inlineStr">
        <is>
          <t>tts</t>
        </is>
      </c>
      <c r="C8" s="6" t="n">
        <v>1</v>
      </c>
      <c r="D8" s="5" t="inlineStr">
        <is>
          <t>routing-rule</t>
        </is>
      </c>
      <c r="E8" s="6" t="n">
        <v>83</v>
      </c>
    </row>
    <row r="9">
      <c r="A9" s="5" t="inlineStr">
        <is>
          <t>2026-06-01</t>
        </is>
      </c>
      <c r="B9" s="5" t="inlineStr">
        <is>
          <t>tts</t>
        </is>
      </c>
      <c r="C9" s="6" t="n">
        <v>0</v>
      </c>
      <c r="D9" s="5" t="inlineStr">
        <is>
          <t>bc-closed</t>
        </is>
      </c>
      <c r="E9" s="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2026-06-22T16:14:27Z</dcterms:created>
  <dcterms:modified xsi:type="dcterms:W3CDTF">2026-06-22T16:14:27Z</dcterms:modified>
</cp:coreProperties>
</file>